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eun\Desktop\"/>
    </mc:Choice>
  </mc:AlternateContent>
  <xr:revisionPtr revIDLastSave="0" documentId="13_ncr:40009_{88334686-0BCE-4EEF-B476-E853DB0F952D}" xr6:coauthVersionLast="45" xr6:coauthVersionMax="45" xr10:uidLastSave="{00000000-0000-0000-0000-000000000000}"/>
  <bookViews>
    <workbookView xWindow="-120" yWindow="-120" windowWidth="29040" windowHeight="15840" activeTab="1"/>
  </bookViews>
  <sheets>
    <sheet name="tags_stats-by_year-df" sheetId="1" r:id="rId1"/>
    <sheet name="Structured" sheetId="2" r:id="rId2"/>
  </sheets>
  <definedNames>
    <definedName name="_xlnm._FilterDatabase" localSheetId="0" hidden="1">'tags_stats-by_year-df'!$A$1:$E$1</definedName>
  </definedNames>
  <calcPr calcId="0"/>
</workbook>
</file>

<file path=xl/calcChain.xml><?xml version="1.0" encoding="utf-8"?>
<calcChain xmlns="http://schemas.openxmlformats.org/spreadsheetml/2006/main">
  <c r="C26" i="2" l="1"/>
  <c r="D26" i="2"/>
  <c r="E26" i="2"/>
  <c r="C27" i="2"/>
  <c r="D27" i="2"/>
  <c r="E27" i="2"/>
  <c r="C28" i="2"/>
  <c r="D28" i="2"/>
  <c r="E28" i="2"/>
  <c r="C29" i="2"/>
  <c r="D29" i="2"/>
  <c r="E29" i="2"/>
  <c r="C30" i="2"/>
  <c r="D30" i="2"/>
  <c r="E30" i="2"/>
  <c r="C31" i="2"/>
  <c r="D31" i="2"/>
  <c r="E31" i="2"/>
  <c r="C32" i="2"/>
  <c r="D32" i="2"/>
  <c r="E32" i="2"/>
  <c r="C33" i="2"/>
  <c r="D33" i="2"/>
  <c r="E33" i="2"/>
  <c r="C34" i="2"/>
  <c r="D34" i="2"/>
  <c r="E34" i="2"/>
  <c r="C35" i="2"/>
  <c r="D35" i="2"/>
  <c r="E35" i="2"/>
  <c r="C36" i="2"/>
  <c r="D36" i="2"/>
  <c r="E36" i="2"/>
  <c r="C37" i="2"/>
  <c r="D37" i="2"/>
  <c r="E37" i="2"/>
  <c r="C38" i="2"/>
  <c r="D38" i="2"/>
  <c r="E38" i="2"/>
  <c r="C39" i="2"/>
  <c r="D39" i="2"/>
  <c r="E39" i="2"/>
  <c r="C40" i="2"/>
  <c r="D40" i="2"/>
  <c r="E40" i="2"/>
  <c r="C41" i="2"/>
  <c r="D41" i="2"/>
  <c r="E41" i="2"/>
  <c r="C42" i="2"/>
  <c r="D42" i="2"/>
  <c r="E42" i="2"/>
  <c r="C43" i="2"/>
  <c r="D43" i="2"/>
  <c r="E43" i="2"/>
  <c r="C44" i="2"/>
  <c r="D44" i="2"/>
  <c r="E44" i="2"/>
  <c r="C45" i="2"/>
  <c r="D45" i="2"/>
  <c r="E4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26" i="2"/>
  <c r="C24" i="2"/>
  <c r="D24" i="2"/>
  <c r="E24" i="2"/>
  <c r="B24" i="2"/>
</calcChain>
</file>

<file path=xl/sharedStrings.xml><?xml version="1.0" encoding="utf-8"?>
<sst xmlns="http://schemas.openxmlformats.org/spreadsheetml/2006/main" count="124" uniqueCount="25">
  <si>
    <t>var2</t>
  </si>
  <si>
    <t>tag</t>
  </si>
  <si>
    <t>n</t>
  </si>
  <si>
    <t>var_tot</t>
  </si>
  <si>
    <t>tag_pc</t>
  </si>
  <si>
    <t>aluminum</t>
  </si>
  <si>
    <t>beer</t>
  </si>
  <si>
    <t>piece</t>
  </si>
  <si>
    <t>bag</t>
  </si>
  <si>
    <t>cigarette</t>
  </si>
  <si>
    <t>firework</t>
  </si>
  <si>
    <t>cup</t>
  </si>
  <si>
    <t>can</t>
  </si>
  <si>
    <t>candy</t>
  </si>
  <si>
    <t>bottle</t>
  </si>
  <si>
    <t>wrapper</t>
  </si>
  <si>
    <t>metal</t>
  </si>
  <si>
    <t>paper</t>
  </si>
  <si>
    <t>energydrink</t>
  </si>
  <si>
    <t>mcdonalds</t>
  </si>
  <si>
    <t>redbull</t>
  </si>
  <si>
    <t>drink</t>
  </si>
  <si>
    <t>antaflu</t>
  </si>
  <si>
    <t>plastic</t>
  </si>
  <si>
    <t>knetterbal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</si>
</sst>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9" fontId="0" fillId="0" borderId="0" xfId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Structured!$A$3</c:f>
              <c:strCache>
                <c:ptCount val="1"/>
                <c:pt idx="0">
                  <c:v>aluminum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Structured!$B$3:$E$3</c:f>
              <c:numCache>
                <c:formatCode>General</c:formatCode>
                <c:ptCount val="4"/>
                <c:pt idx="0">
                  <c:v>1040</c:v>
                </c:pt>
                <c:pt idx="1">
                  <c:v>2783</c:v>
                </c:pt>
                <c:pt idx="2">
                  <c:v>11398</c:v>
                </c:pt>
                <c:pt idx="3">
                  <c:v>25978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EF-4B8E-94BF-18D4B669DAA9}"/>
            </c:ext>
          </c:extLst>
        </c:ser>
        <c:ser>
          <c:idx val="1"/>
          <c:order val="1"/>
          <c:tx>
            <c:strRef>
              <c:f>Structured!$A$4</c:f>
              <c:strCache>
                <c:ptCount val="1"/>
                <c:pt idx="0">
                  <c:v>antaflu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Structured!$B$4:$E$4</c:f>
              <c:numCache>
                <c:formatCode>General</c:formatCode>
                <c:ptCount val="4"/>
                <c:pt idx="0">
                  <c:v>403</c:v>
                </c:pt>
                <c:pt idx="1">
                  <c:v>6722</c:v>
                </c:pt>
                <c:pt idx="2">
                  <c:v>11036</c:v>
                </c:pt>
                <c:pt idx="3">
                  <c:v>10997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EF-4B8E-94BF-18D4B669DAA9}"/>
            </c:ext>
          </c:extLst>
        </c:ser>
        <c:ser>
          <c:idx val="2"/>
          <c:order val="2"/>
          <c:tx>
            <c:strRef>
              <c:f>Structured!$A$5</c:f>
              <c:strCache>
                <c:ptCount val="1"/>
                <c:pt idx="0">
                  <c:v>bag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Structured!$B$5:$E$5</c:f>
              <c:numCache>
                <c:formatCode>General</c:formatCode>
                <c:ptCount val="4"/>
                <c:pt idx="0">
                  <c:v>3885</c:v>
                </c:pt>
                <c:pt idx="1">
                  <c:v>5376</c:v>
                </c:pt>
                <c:pt idx="2">
                  <c:v>17146</c:v>
                </c:pt>
                <c:pt idx="3">
                  <c:v>25899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EF-4B8E-94BF-18D4B669DAA9}"/>
            </c:ext>
          </c:extLst>
        </c:ser>
        <c:ser>
          <c:idx val="3"/>
          <c:order val="3"/>
          <c:tx>
            <c:strRef>
              <c:f>Structured!$A$6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Structured!$B$6:$E$6</c:f>
              <c:numCache>
                <c:formatCode>General</c:formatCode>
                <c:ptCount val="4"/>
                <c:pt idx="0">
                  <c:v>3148</c:v>
                </c:pt>
                <c:pt idx="1">
                  <c:v>8908</c:v>
                </c:pt>
                <c:pt idx="2">
                  <c:v>15035</c:v>
                </c:pt>
                <c:pt idx="3">
                  <c:v>20779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EF-4B8E-94BF-18D4B669DAA9}"/>
            </c:ext>
          </c:extLst>
        </c:ser>
        <c:ser>
          <c:idx val="4"/>
          <c:order val="4"/>
          <c:tx>
            <c:strRef>
              <c:f>Structured!$A$7</c:f>
              <c:strCache>
                <c:ptCount val="1"/>
                <c:pt idx="0">
                  <c:v>bottle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Structured!$B$7:$E$7</c:f>
              <c:numCache>
                <c:formatCode>General</c:formatCode>
                <c:ptCount val="4"/>
                <c:pt idx="0">
                  <c:v>3202</c:v>
                </c:pt>
                <c:pt idx="1">
                  <c:v>10761</c:v>
                </c:pt>
                <c:pt idx="2">
                  <c:v>25443</c:v>
                </c:pt>
                <c:pt idx="3">
                  <c:v>34988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EF-4B8E-94BF-18D4B669DAA9}"/>
            </c:ext>
          </c:extLst>
        </c:ser>
        <c:ser>
          <c:idx val="5"/>
          <c:order val="5"/>
          <c:tx>
            <c:strRef>
              <c:f>Structured!$A$8</c:f>
              <c:strCache>
                <c:ptCount val="1"/>
                <c:pt idx="0">
                  <c:v>can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Structured!$B$8:$E$8</c:f>
              <c:numCache>
                <c:formatCode>General</c:formatCode>
                <c:ptCount val="4"/>
                <c:pt idx="0">
                  <c:v>7399</c:v>
                </c:pt>
                <c:pt idx="1">
                  <c:v>22374</c:v>
                </c:pt>
                <c:pt idx="2">
                  <c:v>58008</c:v>
                </c:pt>
                <c:pt idx="3">
                  <c:v>95941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EF-4B8E-94BF-18D4B669DAA9}"/>
            </c:ext>
          </c:extLst>
        </c:ser>
        <c:ser>
          <c:idx val="6"/>
          <c:order val="6"/>
          <c:tx>
            <c:strRef>
              <c:f>Structured!$A$9</c:f>
              <c:strCache>
                <c:ptCount val="1"/>
                <c:pt idx="0">
                  <c:v>candy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Structured!$B$9:$E$9</c:f>
              <c:numCache>
                <c:formatCode>General</c:formatCode>
                <c:ptCount val="4"/>
                <c:pt idx="0">
                  <c:v>3669</c:v>
                </c:pt>
                <c:pt idx="1">
                  <c:v>10908</c:v>
                </c:pt>
                <c:pt idx="2">
                  <c:v>22816</c:v>
                </c:pt>
                <c:pt idx="3">
                  <c:v>31836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EF-4B8E-94BF-18D4B669DAA9}"/>
            </c:ext>
          </c:extLst>
        </c:ser>
        <c:ser>
          <c:idx val="7"/>
          <c:order val="7"/>
          <c:tx>
            <c:strRef>
              <c:f>Structured!$A$10</c:f>
              <c:strCache>
                <c:ptCount val="1"/>
                <c:pt idx="0">
                  <c:v>cigarette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Structured!$B$10:$E$10</c:f>
              <c:numCache>
                <c:formatCode>General</c:formatCode>
                <c:ptCount val="4"/>
                <c:pt idx="0">
                  <c:v>2617</c:v>
                </c:pt>
                <c:pt idx="1">
                  <c:v>9750</c:v>
                </c:pt>
                <c:pt idx="2">
                  <c:v>35420</c:v>
                </c:pt>
                <c:pt idx="3">
                  <c:v>35698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EF-4B8E-94BF-18D4B669DAA9}"/>
            </c:ext>
          </c:extLst>
        </c:ser>
        <c:ser>
          <c:idx val="8"/>
          <c:order val="8"/>
          <c:tx>
            <c:strRef>
              <c:f>Structured!$A$11</c:f>
              <c:strCache>
                <c:ptCount val="1"/>
                <c:pt idx="0">
                  <c:v>cup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Structured!$B$11:$E$11</c:f>
              <c:numCache>
                <c:formatCode>General</c:formatCode>
                <c:ptCount val="4"/>
                <c:pt idx="0">
                  <c:v>1870</c:v>
                </c:pt>
                <c:pt idx="1">
                  <c:v>4059</c:v>
                </c:pt>
                <c:pt idx="2">
                  <c:v>11383</c:v>
                </c:pt>
                <c:pt idx="3">
                  <c:v>19292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EF-4B8E-94BF-18D4B669DAA9}"/>
            </c:ext>
          </c:extLst>
        </c:ser>
        <c:ser>
          <c:idx val="9"/>
          <c:order val="9"/>
          <c:tx>
            <c:strRef>
              <c:f>Structured!$A$12</c:f>
              <c:strCache>
                <c:ptCount val="1"/>
                <c:pt idx="0">
                  <c:v>drink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Structured!$B$12:$E$12</c:f>
              <c:numCache>
                <c:formatCode>General</c:formatCode>
                <c:ptCount val="4"/>
                <c:pt idx="0">
                  <c:v>16</c:v>
                </c:pt>
                <c:pt idx="1">
                  <c:v>1906</c:v>
                </c:pt>
                <c:pt idx="2">
                  <c:v>11349</c:v>
                </c:pt>
                <c:pt idx="3">
                  <c:v>19938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EF-4B8E-94BF-18D4B669DAA9}"/>
            </c:ext>
          </c:extLst>
        </c:ser>
        <c:ser>
          <c:idx val="10"/>
          <c:order val="10"/>
          <c:tx>
            <c:strRef>
              <c:f>Structured!$A$13</c:f>
              <c:strCache>
                <c:ptCount val="1"/>
                <c:pt idx="0">
                  <c:v>energydrink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Structured!$B$13:$E$13</c:f>
              <c:numCache>
                <c:formatCode>General</c:formatCode>
                <c:ptCount val="4"/>
                <c:pt idx="0">
                  <c:v>2660</c:v>
                </c:pt>
                <c:pt idx="1">
                  <c:v>9863</c:v>
                </c:pt>
                <c:pt idx="2">
                  <c:v>12730</c:v>
                </c:pt>
                <c:pt idx="3">
                  <c:v>23295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EF-4B8E-94BF-18D4B669DAA9}"/>
            </c:ext>
          </c:extLst>
        </c:ser>
        <c:ser>
          <c:idx val="11"/>
          <c:order val="11"/>
          <c:tx>
            <c:strRef>
              <c:f>Structured!$A$14</c:f>
              <c:strCache>
                <c:ptCount val="1"/>
                <c:pt idx="0">
                  <c:v>firework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Structured!$B$14:$E$14</c:f>
              <c:numCache>
                <c:formatCode>General</c:formatCode>
                <c:ptCount val="4"/>
                <c:pt idx="0">
                  <c:v>38</c:v>
                </c:pt>
                <c:pt idx="1">
                  <c:v>345</c:v>
                </c:pt>
                <c:pt idx="2">
                  <c:v>9080</c:v>
                </c:pt>
                <c:pt idx="3">
                  <c:v>33853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EF-4B8E-94BF-18D4B669DAA9}"/>
            </c:ext>
          </c:extLst>
        </c:ser>
        <c:ser>
          <c:idx val="12"/>
          <c:order val="12"/>
          <c:tx>
            <c:strRef>
              <c:f>Structured!$A$15</c:f>
              <c:strCache>
                <c:ptCount val="1"/>
                <c:pt idx="0">
                  <c:v>knetterbal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Structured!$B$15:$E$15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6080</c:v>
                </c:pt>
                <c:pt idx="3">
                  <c:v>28391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4EF-4B8E-94BF-18D4B669DAA9}"/>
            </c:ext>
          </c:extLst>
        </c:ser>
        <c:ser>
          <c:idx val="13"/>
          <c:order val="13"/>
          <c:tx>
            <c:strRef>
              <c:f>Structured!$A$16</c:f>
              <c:strCache>
                <c:ptCount val="1"/>
                <c:pt idx="0">
                  <c:v>mcdonalds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Structured!$B$16:$E$16</c:f>
              <c:numCache>
                <c:formatCode>General</c:formatCode>
                <c:ptCount val="4"/>
                <c:pt idx="0">
                  <c:v>1294</c:v>
                </c:pt>
                <c:pt idx="1">
                  <c:v>1841</c:v>
                </c:pt>
                <c:pt idx="2">
                  <c:v>10681</c:v>
                </c:pt>
                <c:pt idx="3">
                  <c:v>22760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EF-4B8E-94BF-18D4B669DAA9}"/>
            </c:ext>
          </c:extLst>
        </c:ser>
        <c:ser>
          <c:idx val="14"/>
          <c:order val="14"/>
          <c:tx>
            <c:strRef>
              <c:f>Structured!$A$17</c:f>
              <c:strCache>
                <c:ptCount val="1"/>
                <c:pt idx="0">
                  <c:v>metal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Structured!$B$17:$E$17</c:f>
              <c:numCache>
                <c:formatCode>General</c:formatCode>
                <c:ptCount val="4"/>
                <c:pt idx="0">
                  <c:v>5619</c:v>
                </c:pt>
                <c:pt idx="1">
                  <c:v>19259</c:v>
                </c:pt>
                <c:pt idx="2">
                  <c:v>35527</c:v>
                </c:pt>
                <c:pt idx="3">
                  <c:v>64732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4EF-4B8E-94BF-18D4B669DAA9}"/>
            </c:ext>
          </c:extLst>
        </c:ser>
        <c:ser>
          <c:idx val="15"/>
          <c:order val="15"/>
          <c:tx>
            <c:strRef>
              <c:f>Structured!$A$18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Structured!$B$18:$E$18</c:f>
              <c:numCache>
                <c:formatCode>General</c:formatCode>
                <c:ptCount val="4"/>
                <c:pt idx="0">
                  <c:v>5417</c:v>
                </c:pt>
                <c:pt idx="1">
                  <c:v>11191</c:v>
                </c:pt>
                <c:pt idx="2">
                  <c:v>49005</c:v>
                </c:pt>
                <c:pt idx="3">
                  <c:v>81736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4EF-4B8E-94BF-18D4B669DAA9}"/>
            </c:ext>
          </c:extLst>
        </c:ser>
        <c:ser>
          <c:idx val="16"/>
          <c:order val="16"/>
          <c:tx>
            <c:strRef>
              <c:f>Structured!$A$19</c:f>
              <c:strCache>
                <c:ptCount val="1"/>
                <c:pt idx="0">
                  <c:v>piece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Structured!$B$19:$E$19</c:f>
              <c:numCache>
                <c:formatCode>General</c:formatCode>
                <c:ptCount val="4"/>
                <c:pt idx="0">
                  <c:v>6213</c:v>
                </c:pt>
                <c:pt idx="1">
                  <c:v>3303</c:v>
                </c:pt>
                <c:pt idx="2">
                  <c:v>17670</c:v>
                </c:pt>
                <c:pt idx="3">
                  <c:v>35993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EF-4B8E-94BF-18D4B669DAA9}"/>
            </c:ext>
          </c:extLst>
        </c:ser>
        <c:ser>
          <c:idx val="17"/>
          <c:order val="17"/>
          <c:tx>
            <c:strRef>
              <c:f>Structured!$A$20</c:f>
              <c:strCache>
                <c:ptCount val="1"/>
                <c:pt idx="0">
                  <c:v>plastic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Structured!$B$20:$E$20</c:f>
              <c:numCache>
                <c:formatCode>General</c:formatCode>
                <c:ptCount val="4"/>
                <c:pt idx="0">
                  <c:v>28219</c:v>
                </c:pt>
                <c:pt idx="1">
                  <c:v>74720</c:v>
                </c:pt>
                <c:pt idx="2">
                  <c:v>229470</c:v>
                </c:pt>
                <c:pt idx="3">
                  <c:v>378692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4EF-4B8E-94BF-18D4B669DAA9}"/>
            </c:ext>
          </c:extLst>
        </c:ser>
        <c:ser>
          <c:idx val="18"/>
          <c:order val="18"/>
          <c:tx>
            <c:strRef>
              <c:f>Structured!$A$21</c:f>
              <c:strCache>
                <c:ptCount val="1"/>
                <c:pt idx="0">
                  <c:v>redbull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Structured!$B$21:$E$21</c:f>
              <c:numCache>
                <c:formatCode>General</c:formatCode>
                <c:ptCount val="4"/>
                <c:pt idx="0">
                  <c:v>1135</c:v>
                </c:pt>
                <c:pt idx="1">
                  <c:v>4881</c:v>
                </c:pt>
                <c:pt idx="2">
                  <c:v>12526</c:v>
                </c:pt>
                <c:pt idx="3">
                  <c:v>22729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4EF-4B8E-94BF-18D4B669DAA9}"/>
            </c:ext>
          </c:extLst>
        </c:ser>
        <c:ser>
          <c:idx val="19"/>
          <c:order val="19"/>
          <c:tx>
            <c:strRef>
              <c:f>Structured!$A$22</c:f>
              <c:strCache>
                <c:ptCount val="1"/>
                <c:pt idx="0">
                  <c:v>wrapper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25400">
              <a:noFill/>
            </a:ln>
            <a:effectLst/>
          </c:spPr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Structured!$B$22:$E$22</c:f>
              <c:numCache>
                <c:formatCode>General</c:formatCode>
                <c:ptCount val="4"/>
                <c:pt idx="0">
                  <c:v>8225</c:v>
                </c:pt>
                <c:pt idx="1">
                  <c:v>16394</c:v>
                </c:pt>
                <c:pt idx="2">
                  <c:v>53409</c:v>
                </c:pt>
                <c:pt idx="3">
                  <c:v>82915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4EF-4B8E-94BF-18D4B669D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827632"/>
        <c:axId val="613829928"/>
      </c:areaChart>
      <c:catAx>
        <c:axId val="61382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613829928"/>
        <c:crosses val="autoZero"/>
        <c:auto val="1"/>
        <c:lblAlgn val="ctr"/>
        <c:lblOffset val="100"/>
        <c:noMultiLvlLbl val="0"/>
      </c:catAx>
      <c:valAx>
        <c:axId val="613829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613827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Tags per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Structured!$A$3</c:f>
              <c:strCache>
                <c:ptCount val="1"/>
                <c:pt idx="0">
                  <c:v>aluminum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Structured!$B$3:$E$3</c:f>
              <c:numCache>
                <c:formatCode>General</c:formatCode>
                <c:ptCount val="4"/>
                <c:pt idx="0">
                  <c:v>1040</c:v>
                </c:pt>
                <c:pt idx="1">
                  <c:v>2783</c:v>
                </c:pt>
                <c:pt idx="2">
                  <c:v>11398</c:v>
                </c:pt>
                <c:pt idx="3">
                  <c:v>25978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94-43E2-86AA-E7ACAF9FD812}"/>
            </c:ext>
          </c:extLst>
        </c:ser>
        <c:ser>
          <c:idx val="1"/>
          <c:order val="1"/>
          <c:tx>
            <c:strRef>
              <c:f>Structured!$A$4</c:f>
              <c:strCache>
                <c:ptCount val="1"/>
                <c:pt idx="0">
                  <c:v>antaflu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Structured!$B$4:$E$4</c:f>
              <c:numCache>
                <c:formatCode>General</c:formatCode>
                <c:ptCount val="4"/>
                <c:pt idx="0">
                  <c:v>403</c:v>
                </c:pt>
                <c:pt idx="1">
                  <c:v>6722</c:v>
                </c:pt>
                <c:pt idx="2">
                  <c:v>11036</c:v>
                </c:pt>
                <c:pt idx="3">
                  <c:v>10997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94-43E2-86AA-E7ACAF9FD812}"/>
            </c:ext>
          </c:extLst>
        </c:ser>
        <c:ser>
          <c:idx val="2"/>
          <c:order val="2"/>
          <c:tx>
            <c:strRef>
              <c:f>Structured!$A$5</c:f>
              <c:strCache>
                <c:ptCount val="1"/>
                <c:pt idx="0">
                  <c:v>bag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Structured!$B$5:$E$5</c:f>
              <c:numCache>
                <c:formatCode>General</c:formatCode>
                <c:ptCount val="4"/>
                <c:pt idx="0">
                  <c:v>3885</c:v>
                </c:pt>
                <c:pt idx="1">
                  <c:v>5376</c:v>
                </c:pt>
                <c:pt idx="2">
                  <c:v>17146</c:v>
                </c:pt>
                <c:pt idx="3">
                  <c:v>25899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94-43E2-86AA-E7ACAF9FD812}"/>
            </c:ext>
          </c:extLst>
        </c:ser>
        <c:ser>
          <c:idx val="3"/>
          <c:order val="3"/>
          <c:tx>
            <c:strRef>
              <c:f>Structured!$A$6</c:f>
              <c:strCache>
                <c:ptCount val="1"/>
                <c:pt idx="0">
                  <c:v>beer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Structured!$B$6:$E$6</c:f>
              <c:numCache>
                <c:formatCode>General</c:formatCode>
                <c:ptCount val="4"/>
                <c:pt idx="0">
                  <c:v>3148</c:v>
                </c:pt>
                <c:pt idx="1">
                  <c:v>8908</c:v>
                </c:pt>
                <c:pt idx="2">
                  <c:v>15035</c:v>
                </c:pt>
                <c:pt idx="3">
                  <c:v>20779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94-43E2-86AA-E7ACAF9FD812}"/>
            </c:ext>
          </c:extLst>
        </c:ser>
        <c:ser>
          <c:idx val="4"/>
          <c:order val="4"/>
          <c:tx>
            <c:strRef>
              <c:f>Structured!$A$7</c:f>
              <c:strCache>
                <c:ptCount val="1"/>
                <c:pt idx="0">
                  <c:v>bottle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Structured!$B$7:$E$7</c:f>
              <c:numCache>
                <c:formatCode>General</c:formatCode>
                <c:ptCount val="4"/>
                <c:pt idx="0">
                  <c:v>3202</c:v>
                </c:pt>
                <c:pt idx="1">
                  <c:v>10761</c:v>
                </c:pt>
                <c:pt idx="2">
                  <c:v>25443</c:v>
                </c:pt>
                <c:pt idx="3">
                  <c:v>34988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94-43E2-86AA-E7ACAF9FD812}"/>
            </c:ext>
          </c:extLst>
        </c:ser>
        <c:ser>
          <c:idx val="5"/>
          <c:order val="5"/>
          <c:tx>
            <c:strRef>
              <c:f>Structured!$A$8</c:f>
              <c:strCache>
                <c:ptCount val="1"/>
                <c:pt idx="0">
                  <c:v>can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Structured!$B$8:$E$8</c:f>
              <c:numCache>
                <c:formatCode>General</c:formatCode>
                <c:ptCount val="4"/>
                <c:pt idx="0">
                  <c:v>7399</c:v>
                </c:pt>
                <c:pt idx="1">
                  <c:v>22374</c:v>
                </c:pt>
                <c:pt idx="2">
                  <c:v>58008</c:v>
                </c:pt>
                <c:pt idx="3">
                  <c:v>95941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94-43E2-86AA-E7ACAF9FD812}"/>
            </c:ext>
          </c:extLst>
        </c:ser>
        <c:ser>
          <c:idx val="6"/>
          <c:order val="6"/>
          <c:tx>
            <c:strRef>
              <c:f>Structured!$A$9</c:f>
              <c:strCache>
                <c:ptCount val="1"/>
                <c:pt idx="0">
                  <c:v>candy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Structured!$B$9:$E$9</c:f>
              <c:numCache>
                <c:formatCode>General</c:formatCode>
                <c:ptCount val="4"/>
                <c:pt idx="0">
                  <c:v>3669</c:v>
                </c:pt>
                <c:pt idx="1">
                  <c:v>10908</c:v>
                </c:pt>
                <c:pt idx="2">
                  <c:v>22816</c:v>
                </c:pt>
                <c:pt idx="3">
                  <c:v>31836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94-43E2-86AA-E7ACAF9FD812}"/>
            </c:ext>
          </c:extLst>
        </c:ser>
        <c:ser>
          <c:idx val="7"/>
          <c:order val="7"/>
          <c:tx>
            <c:strRef>
              <c:f>Structured!$A$10</c:f>
              <c:strCache>
                <c:ptCount val="1"/>
                <c:pt idx="0">
                  <c:v>cigarette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Structured!$B$10:$E$10</c:f>
              <c:numCache>
                <c:formatCode>General</c:formatCode>
                <c:ptCount val="4"/>
                <c:pt idx="0">
                  <c:v>2617</c:v>
                </c:pt>
                <c:pt idx="1">
                  <c:v>9750</c:v>
                </c:pt>
                <c:pt idx="2">
                  <c:v>35420</c:v>
                </c:pt>
                <c:pt idx="3">
                  <c:v>35698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A94-43E2-86AA-E7ACAF9FD812}"/>
            </c:ext>
          </c:extLst>
        </c:ser>
        <c:ser>
          <c:idx val="8"/>
          <c:order val="8"/>
          <c:tx>
            <c:strRef>
              <c:f>Structured!$A$11</c:f>
              <c:strCache>
                <c:ptCount val="1"/>
                <c:pt idx="0">
                  <c:v>cup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Structured!$B$11:$E$11</c:f>
              <c:numCache>
                <c:formatCode>General</c:formatCode>
                <c:ptCount val="4"/>
                <c:pt idx="0">
                  <c:v>1870</c:v>
                </c:pt>
                <c:pt idx="1">
                  <c:v>4059</c:v>
                </c:pt>
                <c:pt idx="2">
                  <c:v>11383</c:v>
                </c:pt>
                <c:pt idx="3">
                  <c:v>19292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A94-43E2-86AA-E7ACAF9FD812}"/>
            </c:ext>
          </c:extLst>
        </c:ser>
        <c:ser>
          <c:idx val="9"/>
          <c:order val="9"/>
          <c:tx>
            <c:strRef>
              <c:f>Structured!$A$12</c:f>
              <c:strCache>
                <c:ptCount val="1"/>
                <c:pt idx="0">
                  <c:v>drink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Structured!$B$12:$E$12</c:f>
              <c:numCache>
                <c:formatCode>General</c:formatCode>
                <c:ptCount val="4"/>
                <c:pt idx="0">
                  <c:v>16</c:v>
                </c:pt>
                <c:pt idx="1">
                  <c:v>1906</c:v>
                </c:pt>
                <c:pt idx="2">
                  <c:v>11349</c:v>
                </c:pt>
                <c:pt idx="3">
                  <c:v>19938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A94-43E2-86AA-E7ACAF9FD812}"/>
            </c:ext>
          </c:extLst>
        </c:ser>
        <c:ser>
          <c:idx val="10"/>
          <c:order val="10"/>
          <c:tx>
            <c:strRef>
              <c:f>Structured!$A$13</c:f>
              <c:strCache>
                <c:ptCount val="1"/>
                <c:pt idx="0">
                  <c:v>energydrink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Structured!$B$13:$E$13</c:f>
              <c:numCache>
                <c:formatCode>General</c:formatCode>
                <c:ptCount val="4"/>
                <c:pt idx="0">
                  <c:v>2660</c:v>
                </c:pt>
                <c:pt idx="1">
                  <c:v>9863</c:v>
                </c:pt>
                <c:pt idx="2">
                  <c:v>12730</c:v>
                </c:pt>
                <c:pt idx="3">
                  <c:v>23295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A94-43E2-86AA-E7ACAF9FD812}"/>
            </c:ext>
          </c:extLst>
        </c:ser>
        <c:ser>
          <c:idx val="11"/>
          <c:order val="11"/>
          <c:tx>
            <c:strRef>
              <c:f>Structured!$A$14</c:f>
              <c:strCache>
                <c:ptCount val="1"/>
                <c:pt idx="0">
                  <c:v>firework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Structured!$B$14:$E$14</c:f>
              <c:numCache>
                <c:formatCode>General</c:formatCode>
                <c:ptCount val="4"/>
                <c:pt idx="0">
                  <c:v>38</c:v>
                </c:pt>
                <c:pt idx="1">
                  <c:v>345</c:v>
                </c:pt>
                <c:pt idx="2">
                  <c:v>9080</c:v>
                </c:pt>
                <c:pt idx="3">
                  <c:v>33853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A94-43E2-86AA-E7ACAF9FD812}"/>
            </c:ext>
          </c:extLst>
        </c:ser>
        <c:ser>
          <c:idx val="12"/>
          <c:order val="12"/>
          <c:tx>
            <c:strRef>
              <c:f>Structured!$A$15</c:f>
              <c:strCache>
                <c:ptCount val="1"/>
                <c:pt idx="0">
                  <c:v>knetterbal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Structured!$B$15:$E$15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6080</c:v>
                </c:pt>
                <c:pt idx="3">
                  <c:v>28391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A94-43E2-86AA-E7ACAF9FD812}"/>
            </c:ext>
          </c:extLst>
        </c:ser>
        <c:ser>
          <c:idx val="13"/>
          <c:order val="13"/>
          <c:tx>
            <c:strRef>
              <c:f>Structured!$A$16</c:f>
              <c:strCache>
                <c:ptCount val="1"/>
                <c:pt idx="0">
                  <c:v>mcdonalds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Structured!$B$16:$E$16</c:f>
              <c:numCache>
                <c:formatCode>General</c:formatCode>
                <c:ptCount val="4"/>
                <c:pt idx="0">
                  <c:v>1294</c:v>
                </c:pt>
                <c:pt idx="1">
                  <c:v>1841</c:v>
                </c:pt>
                <c:pt idx="2">
                  <c:v>10681</c:v>
                </c:pt>
                <c:pt idx="3">
                  <c:v>22760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A94-43E2-86AA-E7ACAF9FD812}"/>
            </c:ext>
          </c:extLst>
        </c:ser>
        <c:ser>
          <c:idx val="14"/>
          <c:order val="14"/>
          <c:tx>
            <c:strRef>
              <c:f>Structured!$A$17</c:f>
              <c:strCache>
                <c:ptCount val="1"/>
                <c:pt idx="0">
                  <c:v>metal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Structured!$B$17:$E$17</c:f>
              <c:numCache>
                <c:formatCode>General</c:formatCode>
                <c:ptCount val="4"/>
                <c:pt idx="0">
                  <c:v>5619</c:v>
                </c:pt>
                <c:pt idx="1">
                  <c:v>19259</c:v>
                </c:pt>
                <c:pt idx="2">
                  <c:v>35527</c:v>
                </c:pt>
                <c:pt idx="3">
                  <c:v>64732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A94-43E2-86AA-E7ACAF9FD812}"/>
            </c:ext>
          </c:extLst>
        </c:ser>
        <c:ser>
          <c:idx val="15"/>
          <c:order val="15"/>
          <c:tx>
            <c:strRef>
              <c:f>Structured!$A$18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Structured!$B$18:$E$18</c:f>
              <c:numCache>
                <c:formatCode>General</c:formatCode>
                <c:ptCount val="4"/>
                <c:pt idx="0">
                  <c:v>5417</c:v>
                </c:pt>
                <c:pt idx="1">
                  <c:v>11191</c:v>
                </c:pt>
                <c:pt idx="2">
                  <c:v>49005</c:v>
                </c:pt>
                <c:pt idx="3">
                  <c:v>81736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A94-43E2-86AA-E7ACAF9FD812}"/>
            </c:ext>
          </c:extLst>
        </c:ser>
        <c:ser>
          <c:idx val="16"/>
          <c:order val="16"/>
          <c:tx>
            <c:strRef>
              <c:f>Structured!$A$19</c:f>
              <c:strCache>
                <c:ptCount val="1"/>
                <c:pt idx="0">
                  <c:v>piece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Structured!$B$19:$E$19</c:f>
              <c:numCache>
                <c:formatCode>General</c:formatCode>
                <c:ptCount val="4"/>
                <c:pt idx="0">
                  <c:v>6213</c:v>
                </c:pt>
                <c:pt idx="1">
                  <c:v>3303</c:v>
                </c:pt>
                <c:pt idx="2">
                  <c:v>17670</c:v>
                </c:pt>
                <c:pt idx="3">
                  <c:v>35993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A94-43E2-86AA-E7ACAF9FD812}"/>
            </c:ext>
          </c:extLst>
        </c:ser>
        <c:ser>
          <c:idx val="17"/>
          <c:order val="17"/>
          <c:tx>
            <c:strRef>
              <c:f>Structured!$A$20</c:f>
              <c:strCache>
                <c:ptCount val="1"/>
                <c:pt idx="0">
                  <c:v>plastic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Structured!$B$20:$E$20</c:f>
              <c:numCache>
                <c:formatCode>General</c:formatCode>
                <c:ptCount val="4"/>
                <c:pt idx="0">
                  <c:v>28219</c:v>
                </c:pt>
                <c:pt idx="1">
                  <c:v>74720</c:v>
                </c:pt>
                <c:pt idx="2">
                  <c:v>229470</c:v>
                </c:pt>
                <c:pt idx="3">
                  <c:v>378692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A94-43E2-86AA-E7ACAF9FD812}"/>
            </c:ext>
          </c:extLst>
        </c:ser>
        <c:ser>
          <c:idx val="18"/>
          <c:order val="18"/>
          <c:tx>
            <c:strRef>
              <c:f>Structured!$A$21</c:f>
              <c:strCache>
                <c:ptCount val="1"/>
                <c:pt idx="0">
                  <c:v>redbull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Structured!$B$21:$E$21</c:f>
              <c:numCache>
                <c:formatCode>General</c:formatCode>
                <c:ptCount val="4"/>
                <c:pt idx="0">
                  <c:v>1135</c:v>
                </c:pt>
                <c:pt idx="1">
                  <c:v>4881</c:v>
                </c:pt>
                <c:pt idx="2">
                  <c:v>12526</c:v>
                </c:pt>
                <c:pt idx="3">
                  <c:v>22729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A94-43E2-86AA-E7ACAF9FD812}"/>
            </c:ext>
          </c:extLst>
        </c:ser>
        <c:ser>
          <c:idx val="19"/>
          <c:order val="19"/>
          <c:tx>
            <c:strRef>
              <c:f>Structured!$A$22</c:f>
              <c:strCache>
                <c:ptCount val="1"/>
                <c:pt idx="0">
                  <c:v>wrapper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Structured!$B$2:$E$2</c:f>
              <c:numCache>
                <c:formatCode>General</c:formatCod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numCache>
            </c:numRef>
          </c:cat>
          <c:val>
            <c:numRef>
              <c:f>Structured!$B$22:$E$22</c:f>
              <c:numCache>
                <c:formatCode>General</c:formatCode>
                <c:ptCount val="4"/>
                <c:pt idx="0">
                  <c:v>8225</c:v>
                </c:pt>
                <c:pt idx="1">
                  <c:v>16394</c:v>
                </c:pt>
                <c:pt idx="2">
                  <c:v>53409</c:v>
                </c:pt>
                <c:pt idx="3">
                  <c:v>82915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A94-43E2-86AA-E7ACAF9FD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5259504"/>
        <c:axId val="605260816"/>
      </c:barChart>
      <c:catAx>
        <c:axId val="60525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605260816"/>
        <c:crosses val="autoZero"/>
        <c:auto val="1"/>
        <c:lblAlgn val="ctr"/>
        <c:lblOffset val="100"/>
        <c:noMultiLvlLbl val="0"/>
      </c:catAx>
      <c:valAx>
        <c:axId val="60526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605259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133349</xdr:colOff>
      <xdr:row>0</xdr:row>
      <xdr:rowOff>0</xdr:rowOff>
    </xdr:from>
    <xdr:to>
      <xdr:col>25</xdr:col>
      <xdr:colOff>514350</xdr:colOff>
      <xdr:row>29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F55E2C-AF0F-4C33-B1A0-85A2FC0DC8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571499</xdr:colOff>
      <xdr:row>30</xdr:row>
      <xdr:rowOff>176212</xdr:rowOff>
    </xdr:from>
    <xdr:to>
      <xdr:col>24</xdr:col>
      <xdr:colOff>180974</xdr:colOff>
      <xdr:row>58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580086F-6BBF-42A4-AAE9-BF1FA99BE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0"/>
  <sheetViews>
    <sheetView topLeftCell="A56" workbookViewId="0">
      <selection activeCell="B61" sqref="B61:C80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2016</v>
      </c>
      <c r="B2" t="s">
        <v>5</v>
      </c>
      <c r="C2">
        <v>1040</v>
      </c>
      <c r="D2">
        <v>141333</v>
      </c>
      <c r="E2">
        <v>0.74</v>
      </c>
    </row>
    <row r="3" spans="1:5" x14ac:dyDescent="0.25">
      <c r="A3">
        <v>2016</v>
      </c>
      <c r="B3" t="s">
        <v>22</v>
      </c>
      <c r="C3">
        <v>403</v>
      </c>
      <c r="D3">
        <v>141333</v>
      </c>
      <c r="E3">
        <v>0.28999999999999998</v>
      </c>
    </row>
    <row r="4" spans="1:5" x14ac:dyDescent="0.25">
      <c r="A4">
        <v>2016</v>
      </c>
      <c r="B4" t="s">
        <v>8</v>
      </c>
      <c r="C4">
        <v>3885</v>
      </c>
      <c r="D4">
        <v>141333</v>
      </c>
      <c r="E4">
        <v>2.75</v>
      </c>
    </row>
    <row r="5" spans="1:5" x14ac:dyDescent="0.25">
      <c r="A5">
        <v>2016</v>
      </c>
      <c r="B5" t="s">
        <v>6</v>
      </c>
      <c r="C5">
        <v>3148</v>
      </c>
      <c r="D5">
        <v>141333</v>
      </c>
      <c r="E5">
        <v>2.23</v>
      </c>
    </row>
    <row r="6" spans="1:5" x14ac:dyDescent="0.25">
      <c r="A6">
        <v>2016</v>
      </c>
      <c r="B6" t="s">
        <v>14</v>
      </c>
      <c r="C6">
        <v>3202</v>
      </c>
      <c r="D6">
        <v>141333</v>
      </c>
      <c r="E6">
        <v>2.27</v>
      </c>
    </row>
    <row r="7" spans="1:5" x14ac:dyDescent="0.25">
      <c r="A7">
        <v>2016</v>
      </c>
      <c r="B7" t="s">
        <v>12</v>
      </c>
      <c r="C7">
        <v>7399</v>
      </c>
      <c r="D7">
        <v>141333</v>
      </c>
      <c r="E7">
        <v>5.24</v>
      </c>
    </row>
    <row r="8" spans="1:5" x14ac:dyDescent="0.25">
      <c r="A8">
        <v>2016</v>
      </c>
      <c r="B8" t="s">
        <v>13</v>
      </c>
      <c r="C8">
        <v>3669</v>
      </c>
      <c r="D8">
        <v>141333</v>
      </c>
      <c r="E8">
        <v>2.6</v>
      </c>
    </row>
    <row r="9" spans="1:5" x14ac:dyDescent="0.25">
      <c r="A9">
        <v>2016</v>
      </c>
      <c r="B9" t="s">
        <v>9</v>
      </c>
      <c r="C9">
        <v>2617</v>
      </c>
      <c r="D9">
        <v>141333</v>
      </c>
      <c r="E9">
        <v>1.85</v>
      </c>
    </row>
    <row r="10" spans="1:5" x14ac:dyDescent="0.25">
      <c r="A10">
        <v>2016</v>
      </c>
      <c r="B10" t="s">
        <v>11</v>
      </c>
      <c r="C10">
        <v>1870</v>
      </c>
      <c r="D10">
        <v>141333</v>
      </c>
      <c r="E10">
        <v>1.32</v>
      </c>
    </row>
    <row r="11" spans="1:5" x14ac:dyDescent="0.25">
      <c r="A11">
        <v>2016</v>
      </c>
      <c r="B11" t="s">
        <v>21</v>
      </c>
      <c r="C11">
        <v>16</v>
      </c>
      <c r="D11">
        <v>141333</v>
      </c>
      <c r="E11">
        <v>0.01</v>
      </c>
    </row>
    <row r="12" spans="1:5" x14ac:dyDescent="0.25">
      <c r="A12">
        <v>2016</v>
      </c>
      <c r="B12" t="s">
        <v>18</v>
      </c>
      <c r="C12">
        <v>2660</v>
      </c>
      <c r="D12">
        <v>141333</v>
      </c>
      <c r="E12">
        <v>1.88</v>
      </c>
    </row>
    <row r="13" spans="1:5" x14ac:dyDescent="0.25">
      <c r="A13">
        <v>2016</v>
      </c>
      <c r="B13" t="s">
        <v>10</v>
      </c>
      <c r="C13">
        <v>38</v>
      </c>
      <c r="D13">
        <v>141333</v>
      </c>
      <c r="E13">
        <v>0.03</v>
      </c>
    </row>
    <row r="14" spans="1:5" x14ac:dyDescent="0.25">
      <c r="A14">
        <v>2016</v>
      </c>
      <c r="B14" t="s">
        <v>19</v>
      </c>
      <c r="C14">
        <v>1294</v>
      </c>
      <c r="D14">
        <v>141333</v>
      </c>
      <c r="E14">
        <v>0.92</v>
      </c>
    </row>
    <row r="15" spans="1:5" x14ac:dyDescent="0.25">
      <c r="A15">
        <v>2016</v>
      </c>
      <c r="B15" t="s">
        <v>16</v>
      </c>
      <c r="C15">
        <v>5619</v>
      </c>
      <c r="D15">
        <v>141333</v>
      </c>
      <c r="E15">
        <v>3.98</v>
      </c>
    </row>
    <row r="16" spans="1:5" x14ac:dyDescent="0.25">
      <c r="A16">
        <v>2016</v>
      </c>
      <c r="B16" t="s">
        <v>17</v>
      </c>
      <c r="C16">
        <v>5417</v>
      </c>
      <c r="D16">
        <v>141333</v>
      </c>
      <c r="E16">
        <v>3.83</v>
      </c>
    </row>
    <row r="17" spans="1:5" x14ac:dyDescent="0.25">
      <c r="A17">
        <v>2016</v>
      </c>
      <c r="B17" t="s">
        <v>7</v>
      </c>
      <c r="C17">
        <v>6213</v>
      </c>
      <c r="D17">
        <v>141333</v>
      </c>
      <c r="E17">
        <v>4.4000000000000004</v>
      </c>
    </row>
    <row r="18" spans="1:5" x14ac:dyDescent="0.25">
      <c r="A18">
        <v>2016</v>
      </c>
      <c r="B18" t="s">
        <v>23</v>
      </c>
      <c r="C18">
        <v>28219</v>
      </c>
      <c r="D18">
        <v>141333</v>
      </c>
      <c r="E18">
        <v>19.97</v>
      </c>
    </row>
    <row r="19" spans="1:5" x14ac:dyDescent="0.25">
      <c r="A19">
        <v>2016</v>
      </c>
      <c r="B19" t="s">
        <v>20</v>
      </c>
      <c r="C19">
        <v>1135</v>
      </c>
      <c r="D19">
        <v>141333</v>
      </c>
      <c r="E19">
        <v>0.8</v>
      </c>
    </row>
    <row r="20" spans="1:5" x14ac:dyDescent="0.25">
      <c r="A20">
        <v>2016</v>
      </c>
      <c r="B20" t="s">
        <v>15</v>
      </c>
      <c r="C20">
        <v>8225</v>
      </c>
      <c r="D20">
        <v>141333</v>
      </c>
      <c r="E20">
        <v>5.82</v>
      </c>
    </row>
    <row r="21" spans="1:5" x14ac:dyDescent="0.25">
      <c r="A21">
        <v>2017</v>
      </c>
      <c r="B21" t="s">
        <v>5</v>
      </c>
      <c r="C21">
        <v>2783</v>
      </c>
      <c r="D21">
        <v>366768</v>
      </c>
      <c r="E21">
        <v>0.76</v>
      </c>
    </row>
    <row r="22" spans="1:5" x14ac:dyDescent="0.25">
      <c r="A22">
        <v>2017</v>
      </c>
      <c r="B22" t="s">
        <v>22</v>
      </c>
      <c r="C22">
        <v>6722</v>
      </c>
      <c r="D22">
        <v>366768</v>
      </c>
      <c r="E22">
        <v>1.83</v>
      </c>
    </row>
    <row r="23" spans="1:5" x14ac:dyDescent="0.25">
      <c r="A23">
        <v>2017</v>
      </c>
      <c r="B23" t="s">
        <v>8</v>
      </c>
      <c r="C23">
        <v>5376</v>
      </c>
      <c r="D23">
        <v>366768</v>
      </c>
      <c r="E23">
        <v>1.47</v>
      </c>
    </row>
    <row r="24" spans="1:5" x14ac:dyDescent="0.25">
      <c r="A24">
        <v>2017</v>
      </c>
      <c r="B24" t="s">
        <v>6</v>
      </c>
      <c r="C24">
        <v>8908</v>
      </c>
      <c r="D24">
        <v>366768</v>
      </c>
      <c r="E24">
        <v>2.4300000000000002</v>
      </c>
    </row>
    <row r="25" spans="1:5" x14ac:dyDescent="0.25">
      <c r="A25">
        <v>2017</v>
      </c>
      <c r="B25" t="s">
        <v>14</v>
      </c>
      <c r="C25">
        <v>10761</v>
      </c>
      <c r="D25">
        <v>366768</v>
      </c>
      <c r="E25">
        <v>2.93</v>
      </c>
    </row>
    <row r="26" spans="1:5" x14ac:dyDescent="0.25">
      <c r="A26">
        <v>2017</v>
      </c>
      <c r="B26" t="s">
        <v>12</v>
      </c>
      <c r="C26">
        <v>22374</v>
      </c>
      <c r="D26">
        <v>366768</v>
      </c>
      <c r="E26">
        <v>6.1</v>
      </c>
    </row>
    <row r="27" spans="1:5" x14ac:dyDescent="0.25">
      <c r="A27">
        <v>2017</v>
      </c>
      <c r="B27" t="s">
        <v>13</v>
      </c>
      <c r="C27">
        <v>10908</v>
      </c>
      <c r="D27">
        <v>366768</v>
      </c>
      <c r="E27">
        <v>2.97</v>
      </c>
    </row>
    <row r="28" spans="1:5" x14ac:dyDescent="0.25">
      <c r="A28">
        <v>2017</v>
      </c>
      <c r="B28" t="s">
        <v>9</v>
      </c>
      <c r="C28">
        <v>9750</v>
      </c>
      <c r="D28">
        <v>366768</v>
      </c>
      <c r="E28">
        <v>2.66</v>
      </c>
    </row>
    <row r="29" spans="1:5" x14ac:dyDescent="0.25">
      <c r="A29">
        <v>2017</v>
      </c>
      <c r="B29" t="s">
        <v>11</v>
      </c>
      <c r="C29">
        <v>4059</v>
      </c>
      <c r="D29">
        <v>366768</v>
      </c>
      <c r="E29">
        <v>1.1100000000000001</v>
      </c>
    </row>
    <row r="30" spans="1:5" x14ac:dyDescent="0.25">
      <c r="A30">
        <v>2017</v>
      </c>
      <c r="B30" t="s">
        <v>21</v>
      </c>
      <c r="C30">
        <v>1906</v>
      </c>
      <c r="D30">
        <v>366768</v>
      </c>
      <c r="E30">
        <v>0.52</v>
      </c>
    </row>
    <row r="31" spans="1:5" x14ac:dyDescent="0.25">
      <c r="A31">
        <v>2017</v>
      </c>
      <c r="B31" t="s">
        <v>18</v>
      </c>
      <c r="C31">
        <v>9863</v>
      </c>
      <c r="D31">
        <v>366768</v>
      </c>
      <c r="E31">
        <v>2.69</v>
      </c>
    </row>
    <row r="32" spans="1:5" x14ac:dyDescent="0.25">
      <c r="A32">
        <v>2017</v>
      </c>
      <c r="B32" t="s">
        <v>10</v>
      </c>
      <c r="C32">
        <v>345</v>
      </c>
      <c r="D32">
        <v>366768</v>
      </c>
      <c r="E32">
        <v>0.09</v>
      </c>
    </row>
    <row r="33" spans="1:5" x14ac:dyDescent="0.25">
      <c r="A33">
        <v>2017</v>
      </c>
      <c r="B33" t="s">
        <v>24</v>
      </c>
      <c r="C33">
        <v>15</v>
      </c>
      <c r="D33">
        <v>366768</v>
      </c>
      <c r="E33">
        <v>0</v>
      </c>
    </row>
    <row r="34" spans="1:5" x14ac:dyDescent="0.25">
      <c r="A34">
        <v>2017</v>
      </c>
      <c r="B34" t="s">
        <v>19</v>
      </c>
      <c r="C34">
        <v>1841</v>
      </c>
      <c r="D34">
        <v>366768</v>
      </c>
      <c r="E34">
        <v>0.5</v>
      </c>
    </row>
    <row r="35" spans="1:5" x14ac:dyDescent="0.25">
      <c r="A35">
        <v>2017</v>
      </c>
      <c r="B35" t="s">
        <v>16</v>
      </c>
      <c r="C35">
        <v>19259</v>
      </c>
      <c r="D35">
        <v>366768</v>
      </c>
      <c r="E35">
        <v>5.25</v>
      </c>
    </row>
    <row r="36" spans="1:5" x14ac:dyDescent="0.25">
      <c r="A36">
        <v>2017</v>
      </c>
      <c r="B36" t="s">
        <v>17</v>
      </c>
      <c r="C36">
        <v>11191</v>
      </c>
      <c r="D36">
        <v>366768</v>
      </c>
      <c r="E36">
        <v>3.05</v>
      </c>
    </row>
    <row r="37" spans="1:5" x14ac:dyDescent="0.25">
      <c r="A37">
        <v>2017</v>
      </c>
      <c r="B37" t="s">
        <v>7</v>
      </c>
      <c r="C37">
        <v>3303</v>
      </c>
      <c r="D37">
        <v>366768</v>
      </c>
      <c r="E37">
        <v>0.9</v>
      </c>
    </row>
    <row r="38" spans="1:5" x14ac:dyDescent="0.25">
      <c r="A38">
        <v>2017</v>
      </c>
      <c r="B38" t="s">
        <v>23</v>
      </c>
      <c r="C38">
        <v>74720</v>
      </c>
      <c r="D38">
        <v>366768</v>
      </c>
      <c r="E38">
        <v>20.37</v>
      </c>
    </row>
    <row r="39" spans="1:5" x14ac:dyDescent="0.25">
      <c r="A39">
        <v>2017</v>
      </c>
      <c r="B39" t="s">
        <v>20</v>
      </c>
      <c r="C39">
        <v>4881</v>
      </c>
      <c r="D39">
        <v>366768</v>
      </c>
      <c r="E39">
        <v>1.33</v>
      </c>
    </row>
    <row r="40" spans="1:5" x14ac:dyDescent="0.25">
      <c r="A40">
        <v>2017</v>
      </c>
      <c r="B40" t="s">
        <v>15</v>
      </c>
      <c r="C40">
        <v>16394</v>
      </c>
      <c r="D40">
        <v>366768</v>
      </c>
      <c r="E40">
        <v>4.47</v>
      </c>
    </row>
    <row r="41" spans="1:5" x14ac:dyDescent="0.25">
      <c r="A41">
        <v>2018</v>
      </c>
      <c r="B41" t="s">
        <v>5</v>
      </c>
      <c r="C41">
        <v>11398</v>
      </c>
      <c r="D41">
        <v>1035648</v>
      </c>
      <c r="E41">
        <v>1.1000000000000001</v>
      </c>
    </row>
    <row r="42" spans="1:5" x14ac:dyDescent="0.25">
      <c r="A42">
        <v>2018</v>
      </c>
      <c r="B42" t="s">
        <v>22</v>
      </c>
      <c r="C42">
        <v>11036</v>
      </c>
      <c r="D42">
        <v>1035648</v>
      </c>
      <c r="E42">
        <v>1.07</v>
      </c>
    </row>
    <row r="43" spans="1:5" x14ac:dyDescent="0.25">
      <c r="A43">
        <v>2018</v>
      </c>
      <c r="B43" t="s">
        <v>8</v>
      </c>
      <c r="C43">
        <v>17146</v>
      </c>
      <c r="D43">
        <v>1035648</v>
      </c>
      <c r="E43">
        <v>1.66</v>
      </c>
    </row>
    <row r="44" spans="1:5" x14ac:dyDescent="0.25">
      <c r="A44">
        <v>2018</v>
      </c>
      <c r="B44" t="s">
        <v>6</v>
      </c>
      <c r="C44">
        <v>15035</v>
      </c>
      <c r="D44">
        <v>1035648</v>
      </c>
      <c r="E44">
        <v>1.45</v>
      </c>
    </row>
    <row r="45" spans="1:5" x14ac:dyDescent="0.25">
      <c r="A45">
        <v>2018</v>
      </c>
      <c r="B45" t="s">
        <v>14</v>
      </c>
      <c r="C45">
        <v>25443</v>
      </c>
      <c r="D45">
        <v>1035648</v>
      </c>
      <c r="E45">
        <v>2.46</v>
      </c>
    </row>
    <row r="46" spans="1:5" x14ac:dyDescent="0.25">
      <c r="A46">
        <v>2018</v>
      </c>
      <c r="B46" t="s">
        <v>12</v>
      </c>
      <c r="C46">
        <v>58008</v>
      </c>
      <c r="D46">
        <v>1035648</v>
      </c>
      <c r="E46">
        <v>5.6</v>
      </c>
    </row>
    <row r="47" spans="1:5" x14ac:dyDescent="0.25">
      <c r="A47">
        <v>2018</v>
      </c>
      <c r="B47" t="s">
        <v>13</v>
      </c>
      <c r="C47">
        <v>22816</v>
      </c>
      <c r="D47">
        <v>1035648</v>
      </c>
      <c r="E47">
        <v>2.2000000000000002</v>
      </c>
    </row>
    <row r="48" spans="1:5" x14ac:dyDescent="0.25">
      <c r="A48">
        <v>2018</v>
      </c>
      <c r="B48" t="s">
        <v>9</v>
      </c>
      <c r="C48">
        <v>35420</v>
      </c>
      <c r="D48">
        <v>1035648</v>
      </c>
      <c r="E48">
        <v>3.42</v>
      </c>
    </row>
    <row r="49" spans="1:5" x14ac:dyDescent="0.25">
      <c r="A49">
        <v>2018</v>
      </c>
      <c r="B49" t="s">
        <v>11</v>
      </c>
      <c r="C49">
        <v>11383</v>
      </c>
      <c r="D49">
        <v>1035648</v>
      </c>
      <c r="E49">
        <v>1.1000000000000001</v>
      </c>
    </row>
    <row r="50" spans="1:5" x14ac:dyDescent="0.25">
      <c r="A50">
        <v>2018</v>
      </c>
      <c r="B50" t="s">
        <v>21</v>
      </c>
      <c r="C50">
        <v>11349</v>
      </c>
      <c r="D50">
        <v>1035648</v>
      </c>
      <c r="E50">
        <v>1.1000000000000001</v>
      </c>
    </row>
    <row r="51" spans="1:5" x14ac:dyDescent="0.25">
      <c r="A51">
        <v>2018</v>
      </c>
      <c r="B51" t="s">
        <v>18</v>
      </c>
      <c r="C51">
        <v>12730</v>
      </c>
      <c r="D51">
        <v>1035648</v>
      </c>
      <c r="E51">
        <v>1.23</v>
      </c>
    </row>
    <row r="52" spans="1:5" x14ac:dyDescent="0.25">
      <c r="A52">
        <v>2018</v>
      </c>
      <c r="B52" t="s">
        <v>10</v>
      </c>
      <c r="C52">
        <v>9080</v>
      </c>
      <c r="D52">
        <v>1035648</v>
      </c>
      <c r="E52">
        <v>0.88</v>
      </c>
    </row>
    <row r="53" spans="1:5" x14ac:dyDescent="0.25">
      <c r="A53">
        <v>2018</v>
      </c>
      <c r="B53" t="s">
        <v>24</v>
      </c>
      <c r="C53">
        <v>6080</v>
      </c>
      <c r="D53">
        <v>1035648</v>
      </c>
      <c r="E53">
        <v>0.59</v>
      </c>
    </row>
    <row r="54" spans="1:5" x14ac:dyDescent="0.25">
      <c r="A54">
        <v>2018</v>
      </c>
      <c r="B54" t="s">
        <v>19</v>
      </c>
      <c r="C54">
        <v>10681</v>
      </c>
      <c r="D54">
        <v>1035648</v>
      </c>
      <c r="E54">
        <v>1.03</v>
      </c>
    </row>
    <row r="55" spans="1:5" x14ac:dyDescent="0.25">
      <c r="A55">
        <v>2018</v>
      </c>
      <c r="B55" t="s">
        <v>16</v>
      </c>
      <c r="C55">
        <v>35527</v>
      </c>
      <c r="D55">
        <v>1035648</v>
      </c>
      <c r="E55">
        <v>3.43</v>
      </c>
    </row>
    <row r="56" spans="1:5" x14ac:dyDescent="0.25">
      <c r="A56">
        <v>2018</v>
      </c>
      <c r="B56" t="s">
        <v>17</v>
      </c>
      <c r="C56">
        <v>49005</v>
      </c>
      <c r="D56">
        <v>1035648</v>
      </c>
      <c r="E56">
        <v>4.7300000000000004</v>
      </c>
    </row>
    <row r="57" spans="1:5" x14ac:dyDescent="0.25">
      <c r="A57">
        <v>2018</v>
      </c>
      <c r="B57" t="s">
        <v>7</v>
      </c>
      <c r="C57">
        <v>17670</v>
      </c>
      <c r="D57">
        <v>1035648</v>
      </c>
      <c r="E57">
        <v>1.71</v>
      </c>
    </row>
    <row r="58" spans="1:5" x14ac:dyDescent="0.25">
      <c r="A58">
        <v>2018</v>
      </c>
      <c r="B58" t="s">
        <v>23</v>
      </c>
      <c r="C58">
        <v>229470</v>
      </c>
      <c r="D58">
        <v>1035648</v>
      </c>
      <c r="E58">
        <v>22.16</v>
      </c>
    </row>
    <row r="59" spans="1:5" x14ac:dyDescent="0.25">
      <c r="A59">
        <v>2018</v>
      </c>
      <c r="B59" t="s">
        <v>20</v>
      </c>
      <c r="C59">
        <v>12526</v>
      </c>
      <c r="D59">
        <v>1035648</v>
      </c>
      <c r="E59">
        <v>1.21</v>
      </c>
    </row>
    <row r="60" spans="1:5" x14ac:dyDescent="0.25">
      <c r="A60">
        <v>2018</v>
      </c>
      <c r="B60" t="s">
        <v>15</v>
      </c>
      <c r="C60">
        <v>53409</v>
      </c>
      <c r="D60">
        <v>1035648</v>
      </c>
      <c r="E60">
        <v>5.16</v>
      </c>
    </row>
    <row r="61" spans="1:5" x14ac:dyDescent="0.25">
      <c r="A61">
        <v>2019</v>
      </c>
      <c r="B61" t="s">
        <v>5</v>
      </c>
      <c r="C61">
        <v>25978</v>
      </c>
      <c r="D61">
        <v>1711606</v>
      </c>
      <c r="E61">
        <v>1.52</v>
      </c>
    </row>
    <row r="62" spans="1:5" x14ac:dyDescent="0.25">
      <c r="A62">
        <v>2019</v>
      </c>
      <c r="B62" t="s">
        <v>22</v>
      </c>
      <c r="C62">
        <v>10997</v>
      </c>
      <c r="D62">
        <v>1711606</v>
      </c>
      <c r="E62">
        <v>0.64</v>
      </c>
    </row>
    <row r="63" spans="1:5" x14ac:dyDescent="0.25">
      <c r="A63">
        <v>2019</v>
      </c>
      <c r="B63" t="s">
        <v>8</v>
      </c>
      <c r="C63">
        <v>25899</v>
      </c>
      <c r="D63">
        <v>1711606</v>
      </c>
      <c r="E63">
        <v>1.51</v>
      </c>
    </row>
    <row r="64" spans="1:5" x14ac:dyDescent="0.25">
      <c r="A64">
        <v>2019</v>
      </c>
      <c r="B64" t="s">
        <v>6</v>
      </c>
      <c r="C64">
        <v>20779</v>
      </c>
      <c r="D64">
        <v>1711606</v>
      </c>
      <c r="E64">
        <v>1.21</v>
      </c>
    </row>
    <row r="65" spans="1:5" x14ac:dyDescent="0.25">
      <c r="A65">
        <v>2019</v>
      </c>
      <c r="B65" t="s">
        <v>14</v>
      </c>
      <c r="C65">
        <v>34988</v>
      </c>
      <c r="D65">
        <v>1711606</v>
      </c>
      <c r="E65">
        <v>2.04</v>
      </c>
    </row>
    <row r="66" spans="1:5" x14ac:dyDescent="0.25">
      <c r="A66">
        <v>2019</v>
      </c>
      <c r="B66" t="s">
        <v>12</v>
      </c>
      <c r="C66">
        <v>95941</v>
      </c>
      <c r="D66">
        <v>1711606</v>
      </c>
      <c r="E66">
        <v>5.61</v>
      </c>
    </row>
    <row r="67" spans="1:5" x14ac:dyDescent="0.25">
      <c r="A67">
        <v>2019</v>
      </c>
      <c r="B67" t="s">
        <v>13</v>
      </c>
      <c r="C67">
        <v>31836</v>
      </c>
      <c r="D67">
        <v>1711606</v>
      </c>
      <c r="E67">
        <v>1.86</v>
      </c>
    </row>
    <row r="68" spans="1:5" x14ac:dyDescent="0.25">
      <c r="A68">
        <v>2019</v>
      </c>
      <c r="B68" t="s">
        <v>9</v>
      </c>
      <c r="C68">
        <v>35698</v>
      </c>
      <c r="D68">
        <v>1711606</v>
      </c>
      <c r="E68">
        <v>2.09</v>
      </c>
    </row>
    <row r="69" spans="1:5" x14ac:dyDescent="0.25">
      <c r="A69">
        <v>2019</v>
      </c>
      <c r="B69" t="s">
        <v>11</v>
      </c>
      <c r="C69">
        <v>19292</v>
      </c>
      <c r="D69">
        <v>1711606</v>
      </c>
      <c r="E69">
        <v>1.1299999999999999</v>
      </c>
    </row>
    <row r="70" spans="1:5" x14ac:dyDescent="0.25">
      <c r="A70">
        <v>2019</v>
      </c>
      <c r="B70" t="s">
        <v>21</v>
      </c>
      <c r="C70">
        <v>19938</v>
      </c>
      <c r="D70">
        <v>1711606</v>
      </c>
      <c r="E70">
        <v>1.1599999999999999</v>
      </c>
    </row>
    <row r="71" spans="1:5" x14ac:dyDescent="0.25">
      <c r="A71">
        <v>2019</v>
      </c>
      <c r="B71" t="s">
        <v>18</v>
      </c>
      <c r="C71">
        <v>23295</v>
      </c>
      <c r="D71">
        <v>1711606</v>
      </c>
      <c r="E71">
        <v>1.36</v>
      </c>
    </row>
    <row r="72" spans="1:5" x14ac:dyDescent="0.25">
      <c r="A72">
        <v>2019</v>
      </c>
      <c r="B72" t="s">
        <v>10</v>
      </c>
      <c r="C72">
        <v>33853</v>
      </c>
      <c r="D72">
        <v>1711606</v>
      </c>
      <c r="E72">
        <v>1.98</v>
      </c>
    </row>
    <row r="73" spans="1:5" x14ac:dyDescent="0.25">
      <c r="A73">
        <v>2019</v>
      </c>
      <c r="B73" t="s">
        <v>24</v>
      </c>
      <c r="C73">
        <v>28391</v>
      </c>
      <c r="D73">
        <v>1711606</v>
      </c>
      <c r="E73">
        <v>1.66</v>
      </c>
    </row>
    <row r="74" spans="1:5" x14ac:dyDescent="0.25">
      <c r="A74">
        <v>2019</v>
      </c>
      <c r="B74" t="s">
        <v>19</v>
      </c>
      <c r="C74">
        <v>22760</v>
      </c>
      <c r="D74">
        <v>1711606</v>
      </c>
      <c r="E74">
        <v>1.33</v>
      </c>
    </row>
    <row r="75" spans="1:5" x14ac:dyDescent="0.25">
      <c r="A75">
        <v>2019</v>
      </c>
      <c r="B75" t="s">
        <v>16</v>
      </c>
      <c r="C75">
        <v>64732</v>
      </c>
      <c r="D75">
        <v>1711606</v>
      </c>
      <c r="E75">
        <v>3.78</v>
      </c>
    </row>
    <row r="76" spans="1:5" x14ac:dyDescent="0.25">
      <c r="A76">
        <v>2019</v>
      </c>
      <c r="B76" t="s">
        <v>17</v>
      </c>
      <c r="C76">
        <v>81736</v>
      </c>
      <c r="D76">
        <v>1711606</v>
      </c>
      <c r="E76">
        <v>4.78</v>
      </c>
    </row>
    <row r="77" spans="1:5" x14ac:dyDescent="0.25">
      <c r="A77">
        <v>2019</v>
      </c>
      <c r="B77" t="s">
        <v>7</v>
      </c>
      <c r="C77">
        <v>35993</v>
      </c>
      <c r="D77">
        <v>1711606</v>
      </c>
      <c r="E77">
        <v>2.1</v>
      </c>
    </row>
    <row r="78" spans="1:5" x14ac:dyDescent="0.25">
      <c r="A78">
        <v>2019</v>
      </c>
      <c r="B78" t="s">
        <v>23</v>
      </c>
      <c r="C78">
        <v>378692</v>
      </c>
      <c r="D78">
        <v>1711606</v>
      </c>
      <c r="E78">
        <v>22.12</v>
      </c>
    </row>
    <row r="79" spans="1:5" x14ac:dyDescent="0.25">
      <c r="A79">
        <v>2019</v>
      </c>
      <c r="B79" t="s">
        <v>20</v>
      </c>
      <c r="C79">
        <v>22729</v>
      </c>
      <c r="D79">
        <v>1711606</v>
      </c>
      <c r="E79">
        <v>1.33</v>
      </c>
    </row>
    <row r="80" spans="1:5" x14ac:dyDescent="0.25">
      <c r="A80">
        <v>2019</v>
      </c>
      <c r="B80" t="s">
        <v>15</v>
      </c>
      <c r="C80">
        <v>82915</v>
      </c>
      <c r="D80">
        <v>1711606</v>
      </c>
      <c r="E80">
        <v>4.84</v>
      </c>
    </row>
  </sheetData>
  <autoFilter ref="A1:E1">
    <sortState xmlns:xlrd2="http://schemas.microsoft.com/office/spreadsheetml/2017/richdata2" ref="A2:E80">
      <sortCondition ref="A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45"/>
  <sheetViews>
    <sheetView tabSelected="1" topLeftCell="A12" workbookViewId="0">
      <selection activeCell="Z34" sqref="Z34"/>
    </sheetView>
  </sheetViews>
  <sheetFormatPr defaultRowHeight="15" x14ac:dyDescent="0.25"/>
  <sheetData>
    <row r="2" spans="1:5" x14ac:dyDescent="0.25">
      <c r="B2">
        <v>2016</v>
      </c>
      <c r="C2">
        <v>2017</v>
      </c>
      <c r="D2">
        <v>2018</v>
      </c>
      <c r="E2">
        <v>2019</v>
      </c>
    </row>
    <row r="3" spans="1:5" x14ac:dyDescent="0.25">
      <c r="A3" t="s">
        <v>5</v>
      </c>
      <c r="B3">
        <v>1040</v>
      </c>
      <c r="C3">
        <v>2783</v>
      </c>
      <c r="D3">
        <v>11398</v>
      </c>
      <c r="E3">
        <v>25978</v>
      </c>
    </row>
    <row r="4" spans="1:5" x14ac:dyDescent="0.25">
      <c r="A4" t="s">
        <v>22</v>
      </c>
      <c r="B4">
        <v>403</v>
      </c>
      <c r="C4">
        <v>6722</v>
      </c>
      <c r="D4">
        <v>11036</v>
      </c>
      <c r="E4">
        <v>10997</v>
      </c>
    </row>
    <row r="5" spans="1:5" x14ac:dyDescent="0.25">
      <c r="A5" t="s">
        <v>8</v>
      </c>
      <c r="B5">
        <v>3885</v>
      </c>
      <c r="C5">
        <v>5376</v>
      </c>
      <c r="D5">
        <v>17146</v>
      </c>
      <c r="E5">
        <v>25899</v>
      </c>
    </row>
    <row r="6" spans="1:5" x14ac:dyDescent="0.25">
      <c r="A6" t="s">
        <v>6</v>
      </c>
      <c r="B6">
        <v>3148</v>
      </c>
      <c r="C6">
        <v>8908</v>
      </c>
      <c r="D6">
        <v>15035</v>
      </c>
      <c r="E6">
        <v>20779</v>
      </c>
    </row>
    <row r="7" spans="1:5" x14ac:dyDescent="0.25">
      <c r="A7" t="s">
        <v>14</v>
      </c>
      <c r="B7">
        <v>3202</v>
      </c>
      <c r="C7">
        <v>10761</v>
      </c>
      <c r="D7">
        <v>25443</v>
      </c>
      <c r="E7">
        <v>34988</v>
      </c>
    </row>
    <row r="8" spans="1:5" x14ac:dyDescent="0.25">
      <c r="A8" t="s">
        <v>12</v>
      </c>
      <c r="B8">
        <v>7399</v>
      </c>
      <c r="C8">
        <v>22374</v>
      </c>
      <c r="D8">
        <v>58008</v>
      </c>
      <c r="E8">
        <v>95941</v>
      </c>
    </row>
    <row r="9" spans="1:5" x14ac:dyDescent="0.25">
      <c r="A9" t="s">
        <v>13</v>
      </c>
      <c r="B9">
        <v>3669</v>
      </c>
      <c r="C9">
        <v>10908</v>
      </c>
      <c r="D9">
        <v>22816</v>
      </c>
      <c r="E9">
        <v>31836</v>
      </c>
    </row>
    <row r="10" spans="1:5" x14ac:dyDescent="0.25">
      <c r="A10" t="s">
        <v>9</v>
      </c>
      <c r="B10">
        <v>2617</v>
      </c>
      <c r="C10">
        <v>9750</v>
      </c>
      <c r="D10">
        <v>35420</v>
      </c>
      <c r="E10">
        <v>35698</v>
      </c>
    </row>
    <row r="11" spans="1:5" x14ac:dyDescent="0.25">
      <c r="A11" t="s">
        <v>11</v>
      </c>
      <c r="B11">
        <v>1870</v>
      </c>
      <c r="C11">
        <v>4059</v>
      </c>
      <c r="D11">
        <v>11383</v>
      </c>
      <c r="E11">
        <v>19292</v>
      </c>
    </row>
    <row r="12" spans="1:5" x14ac:dyDescent="0.25">
      <c r="A12" t="s">
        <v>21</v>
      </c>
      <c r="B12">
        <v>16</v>
      </c>
      <c r="C12">
        <v>1906</v>
      </c>
      <c r="D12">
        <v>11349</v>
      </c>
      <c r="E12">
        <v>19938</v>
      </c>
    </row>
    <row r="13" spans="1:5" x14ac:dyDescent="0.25">
      <c r="A13" t="s">
        <v>18</v>
      </c>
      <c r="B13">
        <v>2660</v>
      </c>
      <c r="C13">
        <v>9863</v>
      </c>
      <c r="D13">
        <v>12730</v>
      </c>
      <c r="E13">
        <v>23295</v>
      </c>
    </row>
    <row r="14" spans="1:5" x14ac:dyDescent="0.25">
      <c r="A14" t="s">
        <v>10</v>
      </c>
      <c r="B14">
        <v>38</v>
      </c>
      <c r="C14">
        <v>345</v>
      </c>
      <c r="D14">
        <v>9080</v>
      </c>
      <c r="E14">
        <v>33853</v>
      </c>
    </row>
    <row r="15" spans="1:5" x14ac:dyDescent="0.25">
      <c r="A15" t="s">
        <v>24</v>
      </c>
      <c r="B15">
        <v>0</v>
      </c>
      <c r="C15">
        <v>15</v>
      </c>
      <c r="D15">
        <v>6080</v>
      </c>
      <c r="E15">
        <v>28391</v>
      </c>
    </row>
    <row r="16" spans="1:5" x14ac:dyDescent="0.25">
      <c r="A16" t="s">
        <v>19</v>
      </c>
      <c r="B16">
        <v>1294</v>
      </c>
      <c r="C16">
        <v>1841</v>
      </c>
      <c r="D16">
        <v>10681</v>
      </c>
      <c r="E16">
        <v>22760</v>
      </c>
    </row>
    <row r="17" spans="1:5" x14ac:dyDescent="0.25">
      <c r="A17" t="s">
        <v>16</v>
      </c>
      <c r="B17">
        <v>5619</v>
      </c>
      <c r="C17">
        <v>19259</v>
      </c>
      <c r="D17">
        <v>35527</v>
      </c>
      <c r="E17">
        <v>64732</v>
      </c>
    </row>
    <row r="18" spans="1:5" x14ac:dyDescent="0.25">
      <c r="A18" t="s">
        <v>17</v>
      </c>
      <c r="B18">
        <v>5417</v>
      </c>
      <c r="C18">
        <v>11191</v>
      </c>
      <c r="D18">
        <v>49005</v>
      </c>
      <c r="E18">
        <v>81736</v>
      </c>
    </row>
    <row r="19" spans="1:5" x14ac:dyDescent="0.25">
      <c r="A19" t="s">
        <v>7</v>
      </c>
      <c r="B19">
        <v>6213</v>
      </c>
      <c r="C19">
        <v>3303</v>
      </c>
      <c r="D19">
        <v>17670</v>
      </c>
      <c r="E19">
        <v>35993</v>
      </c>
    </row>
    <row r="20" spans="1:5" x14ac:dyDescent="0.25">
      <c r="A20" t="s">
        <v>23</v>
      </c>
      <c r="B20">
        <v>28219</v>
      </c>
      <c r="C20">
        <v>74720</v>
      </c>
      <c r="D20">
        <v>229470</v>
      </c>
      <c r="E20">
        <v>378692</v>
      </c>
    </row>
    <row r="21" spans="1:5" x14ac:dyDescent="0.25">
      <c r="A21" t="s">
        <v>20</v>
      </c>
      <c r="B21">
        <v>1135</v>
      </c>
      <c r="C21">
        <v>4881</v>
      </c>
      <c r="D21">
        <v>12526</v>
      </c>
      <c r="E21">
        <v>22729</v>
      </c>
    </row>
    <row r="22" spans="1:5" x14ac:dyDescent="0.25">
      <c r="A22" t="s">
        <v>15</v>
      </c>
      <c r="B22">
        <v>8225</v>
      </c>
      <c r="C22">
        <v>16394</v>
      </c>
      <c r="D22">
        <v>53409</v>
      </c>
      <c r="E22">
        <v>82915</v>
      </c>
    </row>
    <row r="24" spans="1:5" x14ac:dyDescent="0.25">
      <c r="B24">
        <f>SUM(B3:B22)</f>
        <v>86069</v>
      </c>
      <c r="C24">
        <f t="shared" ref="C24:E24" si="0">SUM(C3:C22)</f>
        <v>225359</v>
      </c>
      <c r="D24">
        <f t="shared" si="0"/>
        <v>655212</v>
      </c>
      <c r="E24">
        <f t="shared" si="0"/>
        <v>1096442</v>
      </c>
    </row>
    <row r="25" spans="1:5" x14ac:dyDescent="0.25">
      <c r="B25">
        <v>2016</v>
      </c>
      <c r="C25">
        <v>2017</v>
      </c>
      <c r="D25">
        <v>2018</v>
      </c>
      <c r="E25">
        <v>2019</v>
      </c>
    </row>
    <row r="26" spans="1:5" x14ac:dyDescent="0.25">
      <c r="A26" t="s">
        <v>5</v>
      </c>
      <c r="B26" s="1">
        <f>B3/B$24</f>
        <v>1.2083328492256212E-2</v>
      </c>
      <c r="C26" s="1">
        <f t="shared" ref="C26:E26" si="1">C3/C$24</f>
        <v>1.2349185078031052E-2</v>
      </c>
      <c r="D26" s="1">
        <f t="shared" si="1"/>
        <v>1.7395896290055737E-2</v>
      </c>
      <c r="E26" s="1">
        <f t="shared" si="1"/>
        <v>2.3692999720915469E-2</v>
      </c>
    </row>
    <row r="27" spans="1:5" x14ac:dyDescent="0.25">
      <c r="A27" t="s">
        <v>22</v>
      </c>
      <c r="B27" s="1">
        <f t="shared" ref="B27:E45" si="2">B4/B$24</f>
        <v>4.682289790749283E-3</v>
      </c>
      <c r="C27" s="1">
        <f t="shared" si="2"/>
        <v>2.982796338286911E-2</v>
      </c>
      <c r="D27" s="1">
        <f t="shared" si="2"/>
        <v>1.6843403356470884E-2</v>
      </c>
      <c r="E27" s="1">
        <f t="shared" si="2"/>
        <v>1.0029714294052946E-2</v>
      </c>
    </row>
    <row r="28" spans="1:5" x14ac:dyDescent="0.25">
      <c r="A28" t="s">
        <v>8</v>
      </c>
      <c r="B28" s="1">
        <f t="shared" si="2"/>
        <v>4.5138203069630178E-2</v>
      </c>
      <c r="C28" s="1">
        <f t="shared" si="2"/>
        <v>2.3855270923282407E-2</v>
      </c>
      <c r="D28" s="1">
        <f t="shared" si="2"/>
        <v>2.6168629390182108E-2</v>
      </c>
      <c r="E28" s="1">
        <f t="shared" si="2"/>
        <v>2.3620948486103233E-2</v>
      </c>
    </row>
    <row r="29" spans="1:5" x14ac:dyDescent="0.25">
      <c r="A29" t="s">
        <v>6</v>
      </c>
      <c r="B29" s="1">
        <f t="shared" si="2"/>
        <v>3.6575305859252463E-2</v>
      </c>
      <c r="C29" s="1">
        <f t="shared" si="2"/>
        <v>3.9528041924218695E-2</v>
      </c>
      <c r="D29" s="1">
        <f t="shared" si="2"/>
        <v>2.2946771426652749E-2</v>
      </c>
      <c r="E29" s="1">
        <f t="shared" si="2"/>
        <v>1.895129883751261E-2</v>
      </c>
    </row>
    <row r="30" spans="1:5" x14ac:dyDescent="0.25">
      <c r="A30" t="s">
        <v>14</v>
      </c>
      <c r="B30" s="1">
        <f t="shared" si="2"/>
        <v>3.7202709454042686E-2</v>
      </c>
      <c r="C30" s="1">
        <f t="shared" si="2"/>
        <v>4.7750478126012276E-2</v>
      </c>
      <c r="D30" s="1">
        <f t="shared" si="2"/>
        <v>3.8831706379004051E-2</v>
      </c>
      <c r="E30" s="1">
        <f t="shared" si="2"/>
        <v>3.1910488653298576E-2</v>
      </c>
    </row>
    <row r="31" spans="1:5" x14ac:dyDescent="0.25">
      <c r="A31" t="s">
        <v>12</v>
      </c>
      <c r="B31" s="1">
        <f t="shared" si="2"/>
        <v>8.5965911071349738E-2</v>
      </c>
      <c r="C31" s="1">
        <f t="shared" si="2"/>
        <v>9.9281590706384037E-2</v>
      </c>
      <c r="D31" s="1">
        <f t="shared" si="2"/>
        <v>8.853317704803941E-2</v>
      </c>
      <c r="E31" s="1">
        <f t="shared" si="2"/>
        <v>8.7502120495201757E-2</v>
      </c>
    </row>
    <row r="32" spans="1:5" x14ac:dyDescent="0.25">
      <c r="A32" t="s">
        <v>13</v>
      </c>
      <c r="B32" s="1">
        <f t="shared" si="2"/>
        <v>4.2628588690469274E-2</v>
      </c>
      <c r="C32" s="1">
        <f t="shared" si="2"/>
        <v>4.8402770690320777E-2</v>
      </c>
      <c r="D32" s="1">
        <f t="shared" si="2"/>
        <v>3.4822317051580252E-2</v>
      </c>
      <c r="E32" s="1">
        <f t="shared" si="2"/>
        <v>2.9035735588384976E-2</v>
      </c>
    </row>
    <row r="33" spans="1:5" x14ac:dyDescent="0.25">
      <c r="A33" t="s">
        <v>9</v>
      </c>
      <c r="B33" s="1">
        <f t="shared" si="2"/>
        <v>3.0405837177148568E-2</v>
      </c>
      <c r="C33" s="1">
        <f t="shared" si="2"/>
        <v>4.326430273474767E-2</v>
      </c>
      <c r="D33" s="1">
        <f t="shared" si="2"/>
        <v>5.4058838971203213E-2</v>
      </c>
      <c r="E33" s="1">
        <f t="shared" si="2"/>
        <v>3.255803772566173E-2</v>
      </c>
    </row>
    <row r="34" spans="1:5" x14ac:dyDescent="0.25">
      <c r="A34" t="s">
        <v>11</v>
      </c>
      <c r="B34" s="1">
        <f t="shared" si="2"/>
        <v>2.1726754115883769E-2</v>
      </c>
      <c r="C34" s="1">
        <f t="shared" si="2"/>
        <v>1.8011262030804182E-2</v>
      </c>
      <c r="D34" s="1">
        <f t="shared" si="2"/>
        <v>1.7373002936454156E-2</v>
      </c>
      <c r="E34" s="1">
        <f t="shared" si="2"/>
        <v>1.7595093949337951E-2</v>
      </c>
    </row>
    <row r="35" spans="1:5" x14ac:dyDescent="0.25">
      <c r="A35" t="s">
        <v>21</v>
      </c>
      <c r="B35" s="1">
        <f t="shared" si="2"/>
        <v>1.8589736141932635E-4</v>
      </c>
      <c r="C35" s="1">
        <f t="shared" si="2"/>
        <v>8.4576165140952883E-3</v>
      </c>
      <c r="D35" s="1">
        <f t="shared" si="2"/>
        <v>1.7321111334957236E-2</v>
      </c>
      <c r="E35" s="1">
        <f t="shared" si="2"/>
        <v>1.8184272401093719E-2</v>
      </c>
    </row>
    <row r="36" spans="1:5" x14ac:dyDescent="0.25">
      <c r="A36" t="s">
        <v>18</v>
      </c>
      <c r="B36" s="1">
        <f t="shared" si="2"/>
        <v>3.0905436335963005E-2</v>
      </c>
      <c r="C36" s="1">
        <f t="shared" si="2"/>
        <v>4.3765724910032437E-2</v>
      </c>
      <c r="D36" s="1">
        <f t="shared" si="2"/>
        <v>1.9428826089876255E-2</v>
      </c>
      <c r="E36" s="1">
        <f t="shared" si="2"/>
        <v>2.1245993860140346E-2</v>
      </c>
    </row>
    <row r="37" spans="1:5" x14ac:dyDescent="0.25">
      <c r="A37" t="s">
        <v>10</v>
      </c>
      <c r="B37" s="1">
        <f t="shared" si="2"/>
        <v>4.4150623337090012E-4</v>
      </c>
      <c r="C37" s="1">
        <f t="shared" si="2"/>
        <v>1.5308907121526099E-3</v>
      </c>
      <c r="D37" s="1">
        <f t="shared" si="2"/>
        <v>1.3858110046824539E-2</v>
      </c>
      <c r="E37" s="1">
        <f t="shared" si="2"/>
        <v>3.0875322178464525E-2</v>
      </c>
    </row>
    <row r="38" spans="1:5" x14ac:dyDescent="0.25">
      <c r="A38" t="s">
        <v>24</v>
      </c>
      <c r="B38" s="1">
        <f t="shared" si="2"/>
        <v>0</v>
      </c>
      <c r="C38" s="1">
        <f t="shared" si="2"/>
        <v>6.6560465745765644E-5</v>
      </c>
      <c r="D38" s="1">
        <f t="shared" si="2"/>
        <v>9.2794393265080623E-3</v>
      </c>
      <c r="E38" s="1">
        <f t="shared" si="2"/>
        <v>2.5893754526003201E-2</v>
      </c>
    </row>
    <row r="39" spans="1:5" x14ac:dyDescent="0.25">
      <c r="A39" t="s">
        <v>19</v>
      </c>
      <c r="B39" s="1">
        <f t="shared" si="2"/>
        <v>1.5034449104788019E-2</v>
      </c>
      <c r="C39" s="1">
        <f t="shared" si="2"/>
        <v>8.1691878291969694E-3</v>
      </c>
      <c r="D39" s="1">
        <f t="shared" si="2"/>
        <v>1.6301593987900098E-2</v>
      </c>
      <c r="E39" s="1">
        <f t="shared" si="2"/>
        <v>2.0758051953500504E-2</v>
      </c>
    </row>
    <row r="40" spans="1:5" x14ac:dyDescent="0.25">
      <c r="A40" t="s">
        <v>16</v>
      </c>
      <c r="B40" s="1">
        <f t="shared" si="2"/>
        <v>6.5284829613449669E-2</v>
      </c>
      <c r="C40" s="1">
        <f t="shared" si="2"/>
        <v>8.5459200653180037E-2</v>
      </c>
      <c r="D40" s="1">
        <f t="shared" si="2"/>
        <v>5.4222144893561169E-2</v>
      </c>
      <c r="E40" s="1">
        <f t="shared" si="2"/>
        <v>5.9038234580579732E-2</v>
      </c>
    </row>
    <row r="41" spans="1:5" x14ac:dyDescent="0.25">
      <c r="A41" t="s">
        <v>17</v>
      </c>
      <c r="B41" s="1">
        <f t="shared" si="2"/>
        <v>6.2937875425530684E-2</v>
      </c>
      <c r="C41" s="1">
        <f t="shared" si="2"/>
        <v>4.9658544810724223E-2</v>
      </c>
      <c r="D41" s="1">
        <f t="shared" si="2"/>
        <v>7.4792586216369666E-2</v>
      </c>
      <c r="E41" s="1">
        <f t="shared" si="2"/>
        <v>7.4546578843203745E-2</v>
      </c>
    </row>
    <row r="42" spans="1:5" x14ac:dyDescent="0.25">
      <c r="A42" t="s">
        <v>7</v>
      </c>
      <c r="B42" s="1">
        <f t="shared" si="2"/>
        <v>7.2186269156142166E-2</v>
      </c>
      <c r="C42" s="1">
        <f t="shared" si="2"/>
        <v>1.4656614557217595E-2</v>
      </c>
      <c r="D42" s="1">
        <f t="shared" si="2"/>
        <v>2.6968370542664055E-2</v>
      </c>
      <c r="E42" s="1">
        <f t="shared" si="2"/>
        <v>3.2827089805023885E-2</v>
      </c>
    </row>
    <row r="43" spans="1:5" x14ac:dyDescent="0.25">
      <c r="A43" t="s">
        <v>23</v>
      </c>
      <c r="B43" s="1">
        <f t="shared" si="2"/>
        <v>0.32786485261824816</v>
      </c>
      <c r="C43" s="1">
        <f t="shared" si="2"/>
        <v>0.33155986670157395</v>
      </c>
      <c r="D43" s="1">
        <f t="shared" si="2"/>
        <v>0.35022252339700738</v>
      </c>
      <c r="E43" s="1">
        <f t="shared" si="2"/>
        <v>0.34538261029767192</v>
      </c>
    </row>
    <row r="44" spans="1:5" x14ac:dyDescent="0.25">
      <c r="A44" t="s">
        <v>20</v>
      </c>
      <c r="B44" s="1">
        <f t="shared" si="2"/>
        <v>1.3187094075683463E-2</v>
      </c>
      <c r="C44" s="1">
        <f t="shared" si="2"/>
        <v>2.1658775553672141E-2</v>
      </c>
      <c r="D44" s="1">
        <f t="shared" si="2"/>
        <v>1.9117476480894732E-2</v>
      </c>
      <c r="E44" s="1">
        <f t="shared" si="2"/>
        <v>2.0729778684143805E-2</v>
      </c>
    </row>
    <row r="45" spans="1:5" x14ac:dyDescent="0.25">
      <c r="A45" t="s">
        <v>15</v>
      </c>
      <c r="B45" s="1">
        <f t="shared" si="2"/>
        <v>9.5562862354622455E-2</v>
      </c>
      <c r="C45" s="1">
        <f t="shared" si="2"/>
        <v>7.2746151695738795E-2</v>
      </c>
      <c r="D45" s="1">
        <f t="shared" si="2"/>
        <v>8.1514074833794248E-2</v>
      </c>
      <c r="E45" s="1">
        <f t="shared" si="2"/>
        <v>7.5621875119705376E-2</v>
      </c>
    </row>
  </sheetData>
  <conditionalFormatting sqref="B26:E4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tags_stats-by_year-df</vt:lpstr>
      <vt:lpstr>Structured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Teun</dc:creator>
  <cp:lastModifiedBy>Teun</cp:lastModifiedBy>
  <dcterms:created xsi:type="dcterms:W3CDTF">2020-05-12T13:03:30Z</dcterms:created>
  <dcterms:modified xsi:type="dcterms:W3CDTF">2020-05-12T13:11:30Z</dcterms:modified>
</cp:coreProperties>
</file>